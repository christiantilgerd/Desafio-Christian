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dor" sheetId="1" state="visible" r:id="rId1"/>
    <sheet xmlns:r="http://schemas.openxmlformats.org/officeDocument/2006/relationships" name="Apoio_D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$#,##0.00"/>
    <numFmt numFmtId="165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D9E1F2"/>
      <sz val="10"/>
    </font>
    <font>
      <name val="Calibri"/>
      <b val="1"/>
      <color rgb="00FFFFFF"/>
      <sz val="11"/>
    </font>
    <font>
      <name val="Calibri"/>
      <b val="1"/>
      <color rgb="001F2937"/>
      <sz val="10"/>
    </font>
    <font>
      <name val="Calibri"/>
      <color rgb="001F2937"/>
      <sz val="10"/>
    </font>
    <font>
      <name val="Calibri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1B365D"/>
        <bgColor rgb="001B365D"/>
      </patternFill>
    </fill>
    <fill>
      <patternFill patternType="solid">
        <fgColor rgb="00FFFFFF"/>
        <bgColor rgb="00FFFFFF"/>
      </patternFill>
    </fill>
    <fill>
      <patternFill patternType="solid">
        <fgColor rgb="00E9ECEF"/>
        <bgColor rgb="00E9ECEF"/>
      </patternFill>
    </fill>
    <fill>
      <patternFill patternType="solid">
        <fgColor rgb="002B579A"/>
        <bgColor rgb="002B579A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4" fillId="0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164" fontId="5" fillId="5" borderId="1" pivotButton="0" quotePrefix="0" xfId="0"/>
    <xf numFmtId="1" fontId="5" fillId="4" borderId="1" applyAlignment="1" pivotButton="0" quotePrefix="0" xfId="0">
      <alignment horizontal="right" vertical="center"/>
    </xf>
    <xf numFmtId="10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1" fontId="4" fillId="5" borderId="1" applyAlignment="1" pivotButton="0" quotePrefix="0" xfId="0">
      <alignment horizontal="right" vertical="center"/>
    </xf>
    <xf numFmtId="10" fontId="4" fillId="5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165" fontId="5" fillId="5" borderId="1" pivotButton="0" quotePrefix="0" xfId="0"/>
    <xf numFmtId="0" fontId="4" fillId="5" borderId="1" applyAlignment="1" pivotButton="0" quotePrefix="0" xfId="0">
      <alignment horizontal="left" vertical="center"/>
    </xf>
    <xf numFmtId="165" fontId="4" fillId="5" borderId="1" pivotButton="0" quotePrefix="0" xfId="0"/>
    <xf numFmtId="164" fontId="4" fillId="5" borderId="1" pivotButton="0" quotePrefix="0" xfId="0"/>
    <xf numFmtId="0" fontId="6" fillId="6" borderId="0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Divisão do Aporte por Tipo de Fundo</a:t>
            </a:r>
          </a:p>
        </rich>
      </tx>
    </title>
    <plotArea>
      <pieChart>
        <varyColors val="1"/>
        <ser>
          <idx val="0"/>
          <order val="0"/>
          <tx>
            <strRef>
              <f>'Simulador'!C22</f>
            </strRef>
          </tx>
          <spPr>
            <a:ln xmlns:a="http://schemas.openxmlformats.org/drawingml/2006/main">
              <a:prstDash val="solid"/>
            </a:ln>
          </spPr>
          <cat>
            <numRef>
              <f>'Simulador'!$B$23:$B$28</f>
            </numRef>
          </cat>
          <val>
            <numRef>
              <f>'Simulador'!$C$23:$C$28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13</row>
      <rowOff>0</rowOff>
    </from>
    <ext cx="504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24" customWidth="1" min="3" max="3"/>
    <col width="22" customWidth="1" min="4" max="4"/>
    <col width="22" customWidth="1" min="5" max="5"/>
    <col width="4" customWidth="1" min="6" max="6"/>
    <col width="16" customWidth="1" min="7" max="7"/>
    <col width="12" customWidth="1" min="8" max="8"/>
    <col width="20" customWidth="1" min="9" max="9"/>
    <col width="22" customWidth="1" min="10" max="10"/>
    <col width="22" customWidth="1" min="11" max="11"/>
  </cols>
  <sheetData>
    <row r="1"/>
    <row r="2">
      <c r="B2" s="1" t="inlineStr">
        <is>
          <t>SIMULADOR DE INVESTIMENTO EM FUNDOS IMOBILIÁRIOS (FIIs)</t>
        </is>
      </c>
    </row>
    <row r="3"/>
    <row r="4">
      <c r="B4" s="3" t="inlineStr">
        <is>
          <t>Ferramenta de Planejamento Financeiro, Projeção de Patrimônio e Alocação por Perfil</t>
        </is>
      </c>
    </row>
    <row r="5"/>
    <row r="6">
      <c r="B6" s="4" t="inlineStr">
        <is>
          <t>1. CONFIGURAÇÕES E DADOS DE ENTRADA</t>
        </is>
      </c>
      <c r="G6" s="4" t="inlineStr">
        <is>
          <t>3. PROJEÇÃO DE PATRIMÔNIO E DIVIDENDOS POR PRAZO</t>
        </is>
      </c>
    </row>
    <row r="7">
      <c r="B7" s="6" t="inlineStr">
        <is>
          <t>Salário Mensal (R$):</t>
        </is>
      </c>
      <c r="C7" s="7" t="n">
        <v>5000</v>
      </c>
      <c r="G7" s="8" t="inlineStr">
        <is>
          <t>Prazo (Anos)</t>
        </is>
      </c>
      <c r="H7" s="8" t="inlineStr">
        <is>
          <t>Meses</t>
        </is>
      </c>
      <c r="I7" s="8" t="inlineStr">
        <is>
          <t>Total Investido</t>
        </is>
      </c>
      <c r="J7" s="8" t="inlineStr">
        <is>
          <t>Patrimônio Acumulado</t>
        </is>
      </c>
      <c r="K7" s="8" t="inlineStr">
        <is>
          <t>Rendimento Mensal</t>
        </is>
      </c>
    </row>
    <row r="8">
      <c r="B8" s="6" t="inlineStr">
        <is>
          <t>Sugestão de Aporte (30%):</t>
        </is>
      </c>
      <c r="C8" s="9">
        <f>C7*0.3</f>
        <v/>
      </c>
      <c r="G8" s="10" t="n">
        <v>2</v>
      </c>
      <c r="H8" s="10">
        <f>G8*12</f>
        <v/>
      </c>
      <c r="I8" s="11">
        <f>H8*$C$9</f>
        <v/>
      </c>
      <c r="J8" s="11">
        <f>FV($C$11, H8, -$C$9)</f>
        <v/>
      </c>
      <c r="K8" s="11">
        <f>J8*$C$11</f>
        <v/>
      </c>
    </row>
    <row r="9">
      <c r="B9" s="6" t="inlineStr">
        <is>
          <t>Aporte Mensal Utilizado (R$):</t>
        </is>
      </c>
      <c r="C9" s="7" t="n">
        <v>1500</v>
      </c>
      <c r="G9" s="10" t="n">
        <v>5</v>
      </c>
      <c r="H9" s="10">
        <f>G9*12</f>
        <v/>
      </c>
      <c r="I9" s="11">
        <f>H9*$C$9</f>
        <v/>
      </c>
      <c r="J9" s="11">
        <f>FV($C$11, H9, -$C$9)</f>
        <v/>
      </c>
      <c r="K9" s="11">
        <f>J9*$C$11</f>
        <v/>
      </c>
    </row>
    <row r="10">
      <c r="B10" s="6" t="inlineStr">
        <is>
          <t>Prazo da Simulação (Anos):</t>
        </is>
      </c>
      <c r="C10" s="12" t="n">
        <v>10</v>
      </c>
      <c r="G10" s="10" t="n">
        <v>10</v>
      </c>
      <c r="H10" s="10">
        <f>G10*12</f>
        <v/>
      </c>
      <c r="I10" s="11">
        <f>H10*$C$9</f>
        <v/>
      </c>
      <c r="J10" s="11">
        <f>FV($C$11, H10, -$C$9)</f>
        <v/>
      </c>
      <c r="K10" s="11">
        <f>J10*$C$11</f>
        <v/>
      </c>
    </row>
    <row r="11">
      <c r="B11" s="6" t="inlineStr">
        <is>
          <t>Taxa de Rendimento Mensal (%):</t>
        </is>
      </c>
      <c r="C11" s="13" t="n">
        <v>0.008</v>
      </c>
      <c r="G11" s="10" t="n">
        <v>20</v>
      </c>
      <c r="H11" s="10">
        <f>G11*12</f>
        <v/>
      </c>
      <c r="I11" s="11">
        <f>H11*$C$9</f>
        <v/>
      </c>
      <c r="J11" s="11">
        <f>FV($C$11, H11, -$C$9)</f>
        <v/>
      </c>
      <c r="K11" s="11">
        <f>J11*$C$11</f>
        <v/>
      </c>
    </row>
    <row r="12">
      <c r="B12" s="6" t="inlineStr">
        <is>
          <t>Perfil de Investidor:</t>
        </is>
      </c>
      <c r="C12" s="14" t="inlineStr">
        <is>
          <t>Moderado</t>
        </is>
      </c>
      <c r="G12" s="10" t="n">
        <v>30</v>
      </c>
      <c r="H12" s="10">
        <f>G12*12</f>
        <v/>
      </c>
      <c r="I12" s="11">
        <f>H12*$C$9</f>
        <v/>
      </c>
      <c r="J12" s="11">
        <f>FV($C$11, H12, -$C$9)</f>
        <v/>
      </c>
      <c r="K12" s="11">
        <f>J12*$C$11</f>
        <v/>
      </c>
    </row>
    <row r="13"/>
    <row r="14">
      <c r="B14" s="4" t="inlineStr">
        <is>
          <t>2. RESULTADOS DA SIMULAÇÃO (RESPOSTAS DE NEGÓCIO)</t>
        </is>
      </c>
    </row>
    <row r="15">
      <c r="B15" s="6" t="inlineStr">
        <is>
          <t>1. Aporte Mensal:</t>
        </is>
      </c>
      <c r="C15" s="9">
        <f>C9</f>
        <v/>
      </c>
    </row>
    <row r="16">
      <c r="B16" s="6" t="inlineStr">
        <is>
          <t>2. Prazo Total (Anos):</t>
        </is>
      </c>
      <c r="C16" s="15">
        <f>C10</f>
        <v/>
      </c>
    </row>
    <row r="17">
      <c r="B17" s="6" t="inlineStr">
        <is>
          <t>3. Taxa de Rendimento Mensal:</t>
        </is>
      </c>
      <c r="C17" s="16">
        <f>C11</f>
        <v/>
      </c>
    </row>
    <row r="18">
      <c r="B18" s="6" t="inlineStr">
        <is>
          <t>4. Patrimônio Acumulado (VF):</t>
        </is>
      </c>
      <c r="C18" s="9">
        <f>FV(C11, C10*12, -C9)</f>
        <v/>
      </c>
    </row>
    <row r="19">
      <c r="B19" s="6" t="inlineStr">
        <is>
          <t>5. Dividendos Mensais Estimados:</t>
        </is>
      </c>
      <c r="C19" s="9">
        <f>C18*C11</f>
        <v/>
      </c>
    </row>
    <row r="20"/>
    <row r="21">
      <c r="B21" s="4" t="inlineStr">
        <is>
          <t>4. DIVISÃO DO APORTE POR TIPO DE FUNDO (CHAVE COMPOSTA + PROCV)</t>
        </is>
      </c>
    </row>
    <row r="22">
      <c r="B22" s="8" t="inlineStr">
        <is>
          <t>Tipo de Fundo Imobiliário</t>
        </is>
      </c>
      <c r="C22" s="8" t="inlineStr">
        <is>
          <t>% Alocação</t>
        </is>
      </c>
      <c r="D22" s="8" t="inlineStr">
        <is>
          <t>Aporte Mensal (R$)</t>
        </is>
      </c>
      <c r="E22" s="8" t="inlineStr">
        <is>
          <t>Patrimônio Alocado</t>
        </is>
      </c>
    </row>
    <row r="23">
      <c r="B23" s="17" t="inlineStr">
        <is>
          <t>Papel / Recebíveis</t>
        </is>
      </c>
      <c r="C23" s="18">
        <f>VLOOKUP($C$12&amp;B23, Apoio_Dados!$A$2:$D$19, 4, FALSE)</f>
        <v/>
      </c>
      <c r="D23" s="11">
        <f>$C$9*C23</f>
        <v/>
      </c>
      <c r="E23" s="11">
        <f>$C$18*C23</f>
        <v/>
      </c>
    </row>
    <row r="24">
      <c r="B24" s="17" t="inlineStr">
        <is>
          <t>Tijolo - Logística</t>
        </is>
      </c>
      <c r="C24" s="18">
        <f>VLOOKUP($C$12&amp;B24, Apoio_Dados!$A$2:$D$19, 4, FALSE)</f>
        <v/>
      </c>
      <c r="D24" s="11">
        <f>$C$9*C24</f>
        <v/>
      </c>
      <c r="E24" s="11">
        <f>$C$18*C24</f>
        <v/>
      </c>
    </row>
    <row r="25">
      <c r="B25" s="17" t="inlineStr">
        <is>
          <t>Tijolo - Shopping</t>
        </is>
      </c>
      <c r="C25" s="18">
        <f>VLOOKUP($C$12&amp;B25, Apoio_Dados!$A$2:$D$19, 4, FALSE)</f>
        <v/>
      </c>
      <c r="D25" s="11">
        <f>$C$9*C25</f>
        <v/>
      </c>
      <c r="E25" s="11">
        <f>$C$18*C25</f>
        <v/>
      </c>
    </row>
    <row r="26">
      <c r="B26" s="17" t="inlineStr">
        <is>
          <t>Tijolo - Lajes Corporativas</t>
        </is>
      </c>
      <c r="C26" s="18">
        <f>VLOOKUP($C$12&amp;B26, Apoio_Dados!$A$2:$D$19, 4, FALSE)</f>
        <v/>
      </c>
      <c r="D26" s="11">
        <f>$C$9*C26</f>
        <v/>
      </c>
      <c r="E26" s="11">
        <f>$C$18*C26</f>
        <v/>
      </c>
    </row>
    <row r="27">
      <c r="B27" s="17" t="inlineStr">
        <is>
          <t>Fundos de Fundos (FOFs)</t>
        </is>
      </c>
      <c r="C27" s="18">
        <f>VLOOKUP($C$12&amp;B27, Apoio_Dados!$A$2:$D$19, 4, FALSE)</f>
        <v/>
      </c>
      <c r="D27" s="11">
        <f>$C$9*C27</f>
        <v/>
      </c>
      <c r="E27" s="11">
        <f>$C$18*C27</f>
        <v/>
      </c>
    </row>
    <row r="28">
      <c r="B28" s="17" t="inlineStr">
        <is>
          <t>Agro / Fiagro</t>
        </is>
      </c>
      <c r="C28" s="18">
        <f>VLOOKUP($C$12&amp;B28, Apoio_Dados!$A$2:$D$19, 4, FALSE)</f>
        <v/>
      </c>
      <c r="D28" s="11">
        <f>$C$9*C28</f>
        <v/>
      </c>
      <c r="E28" s="11">
        <f>$C$18*C28</f>
        <v/>
      </c>
    </row>
    <row r="29">
      <c r="B29" s="19" t="inlineStr">
        <is>
          <t>TOTAL</t>
        </is>
      </c>
      <c r="C29" s="20">
        <f>SUM(C23:C28)</f>
        <v/>
      </c>
      <c r="D29" s="21">
        <f>SUM(D23:D28)</f>
        <v/>
      </c>
      <c r="E29" s="21">
        <f>SUM(E23:E28)</f>
        <v/>
      </c>
    </row>
  </sheetData>
  <mergeCells count="6">
    <mergeCell ref="B4:K4"/>
    <mergeCell ref="B6:E6"/>
    <mergeCell ref="B21:E21"/>
    <mergeCell ref="G6:K6"/>
    <mergeCell ref="B2:K3"/>
    <mergeCell ref="B14:E14"/>
  </mergeCells>
  <dataValidations count="1">
    <dataValidation sqref="C12" showDropDown="0" showInputMessage="0" showErrorMessage="0" allowBlank="0" type="list">
      <formula1>"Conservador,Moderado,Arrojado"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31" customWidth="1" min="3" max="3"/>
    <col width="15" customWidth="1" min="4" max="4"/>
  </cols>
  <sheetData>
    <row r="1">
      <c r="A1" s="22" t="inlineStr">
        <is>
          <t>Chave Composta</t>
        </is>
      </c>
      <c r="B1" s="22" t="inlineStr">
        <is>
          <t>Perfil</t>
        </is>
      </c>
      <c r="C1" s="22" t="inlineStr">
        <is>
          <t>Tipo de Fundo</t>
        </is>
      </c>
      <c r="D1" s="22" t="inlineStr">
        <is>
          <t>Percentual</t>
        </is>
      </c>
    </row>
    <row r="2">
      <c r="A2">
        <f>B2&amp;C2</f>
        <v/>
      </c>
      <c r="B2" t="inlineStr">
        <is>
          <t>Conservador</t>
        </is>
      </c>
      <c r="C2" t="inlineStr">
        <is>
          <t>Papel / Recebíveis</t>
        </is>
      </c>
      <c r="D2" s="23" t="n">
        <v>0.4</v>
      </c>
    </row>
    <row r="3">
      <c r="A3">
        <f>B3&amp;C3</f>
        <v/>
      </c>
      <c r="B3" t="inlineStr">
        <is>
          <t>Conservador</t>
        </is>
      </c>
      <c r="C3" t="inlineStr">
        <is>
          <t>Tijolo - Logística</t>
        </is>
      </c>
      <c r="D3" s="23" t="n">
        <v>0.25</v>
      </c>
    </row>
    <row r="4">
      <c r="A4">
        <f>B4&amp;C4</f>
        <v/>
      </c>
      <c r="B4" t="inlineStr">
        <is>
          <t>Conservador</t>
        </is>
      </c>
      <c r="C4" t="inlineStr">
        <is>
          <t>Tijolo - Shopping</t>
        </is>
      </c>
      <c r="D4" s="23" t="n">
        <v>0.15</v>
      </c>
    </row>
    <row r="5">
      <c r="A5">
        <f>B5&amp;C5</f>
        <v/>
      </c>
      <c r="B5" t="inlineStr">
        <is>
          <t>Conservador</t>
        </is>
      </c>
      <c r="C5" t="inlineStr">
        <is>
          <t>Tijolo - Lajes Corporativas</t>
        </is>
      </c>
      <c r="D5" s="23" t="n">
        <v>0.05</v>
      </c>
    </row>
    <row r="6">
      <c r="A6">
        <f>B6&amp;C6</f>
        <v/>
      </c>
      <c r="B6" t="inlineStr">
        <is>
          <t>Conservador</t>
        </is>
      </c>
      <c r="C6" t="inlineStr">
        <is>
          <t>Fundos de Fundos (FOFs)</t>
        </is>
      </c>
      <c r="D6" s="23" t="n">
        <v>0.1</v>
      </c>
    </row>
    <row r="7">
      <c r="A7">
        <f>B7&amp;C7</f>
        <v/>
      </c>
      <c r="B7" t="inlineStr">
        <is>
          <t>Conservador</t>
        </is>
      </c>
      <c r="C7" t="inlineStr">
        <is>
          <t>Agro / Fiagro</t>
        </is>
      </c>
      <c r="D7" s="23" t="n">
        <v>0.05</v>
      </c>
    </row>
    <row r="8">
      <c r="A8">
        <f>B8&amp;C8</f>
        <v/>
      </c>
      <c r="B8" t="inlineStr">
        <is>
          <t>Moderado</t>
        </is>
      </c>
      <c r="C8" t="inlineStr">
        <is>
          <t>Papel / Recebíveis</t>
        </is>
      </c>
      <c r="D8" s="23" t="n">
        <v>0.25</v>
      </c>
    </row>
    <row r="9">
      <c r="A9">
        <f>B9&amp;C9</f>
        <v/>
      </c>
      <c r="B9" t="inlineStr">
        <is>
          <t>Moderado</t>
        </is>
      </c>
      <c r="C9" t="inlineStr">
        <is>
          <t>Tijolo - Logística</t>
        </is>
      </c>
      <c r="D9" s="23" t="n">
        <v>0.25</v>
      </c>
    </row>
    <row r="10">
      <c r="A10">
        <f>B10&amp;C10</f>
        <v/>
      </c>
      <c r="B10" t="inlineStr">
        <is>
          <t>Moderado</t>
        </is>
      </c>
      <c r="C10" t="inlineStr">
        <is>
          <t>Tijolo - Shopping</t>
        </is>
      </c>
      <c r="D10" s="23" t="n">
        <v>0.2</v>
      </c>
    </row>
    <row r="11">
      <c r="A11">
        <f>B11&amp;C11</f>
        <v/>
      </c>
      <c r="B11" t="inlineStr">
        <is>
          <t>Moderado</t>
        </is>
      </c>
      <c r="C11" t="inlineStr">
        <is>
          <t>Tijolo - Lajes Corporativas</t>
        </is>
      </c>
      <c r="D11" s="23" t="n">
        <v>0.1</v>
      </c>
    </row>
    <row r="12">
      <c r="A12">
        <f>B12&amp;C12</f>
        <v/>
      </c>
      <c r="B12" t="inlineStr">
        <is>
          <t>Moderado</t>
        </is>
      </c>
      <c r="C12" t="inlineStr">
        <is>
          <t>Fundos de Fundos (FOFs)</t>
        </is>
      </c>
      <c r="D12" s="23" t="n">
        <v>0.1</v>
      </c>
    </row>
    <row r="13">
      <c r="A13">
        <f>B13&amp;C13</f>
        <v/>
      </c>
      <c r="B13" t="inlineStr">
        <is>
          <t>Moderado</t>
        </is>
      </c>
      <c r="C13" t="inlineStr">
        <is>
          <t>Agro / Fiagro</t>
        </is>
      </c>
      <c r="D13" s="23" t="n">
        <v>0.1</v>
      </c>
    </row>
    <row r="14">
      <c r="A14">
        <f>B14&amp;C14</f>
        <v/>
      </c>
      <c r="B14" t="inlineStr">
        <is>
          <t>Arrojado</t>
        </is>
      </c>
      <c r="C14" t="inlineStr">
        <is>
          <t>Papel / Recebíveis</t>
        </is>
      </c>
      <c r="D14" s="23" t="n">
        <v>0.15</v>
      </c>
    </row>
    <row r="15">
      <c r="A15">
        <f>B15&amp;C15</f>
        <v/>
      </c>
      <c r="B15" t="inlineStr">
        <is>
          <t>Arrojado</t>
        </is>
      </c>
      <c r="C15" t="inlineStr">
        <is>
          <t>Tijolo - Logística</t>
        </is>
      </c>
      <c r="D15" s="23" t="n">
        <v>0.2</v>
      </c>
    </row>
    <row r="16">
      <c r="A16">
        <f>B16&amp;C16</f>
        <v/>
      </c>
      <c r="B16" t="inlineStr">
        <is>
          <t>Arrojado</t>
        </is>
      </c>
      <c r="C16" t="inlineStr">
        <is>
          <t>Tijolo - Shopping</t>
        </is>
      </c>
      <c r="D16" s="23" t="n">
        <v>0.15</v>
      </c>
    </row>
    <row r="17">
      <c r="A17">
        <f>B17&amp;C17</f>
        <v/>
      </c>
      <c r="B17" t="inlineStr">
        <is>
          <t>Arrojado</t>
        </is>
      </c>
      <c r="C17" t="inlineStr">
        <is>
          <t>Tijolo - Lajes Corporativas</t>
        </is>
      </c>
      <c r="D17" s="23" t="n">
        <v>0.15</v>
      </c>
    </row>
    <row r="18">
      <c r="A18">
        <f>B18&amp;C18</f>
        <v/>
      </c>
      <c r="B18" t="inlineStr">
        <is>
          <t>Arrojado</t>
        </is>
      </c>
      <c r="C18" t="inlineStr">
        <is>
          <t>Fundos de Fundos (FOFs)</t>
        </is>
      </c>
      <c r="D18" s="23" t="n">
        <v>0.15</v>
      </c>
    </row>
    <row r="19">
      <c r="A19">
        <f>B19&amp;C19</f>
        <v/>
      </c>
      <c r="B19" t="inlineStr">
        <is>
          <t>Arrojado</t>
        </is>
      </c>
      <c r="C19" t="inlineStr">
        <is>
          <t>Agro / Fiagro</t>
        </is>
      </c>
      <c r="D19" s="23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2026-10-18T02:47:26Z</dcterms:created>
  <dcterms:modified xmlns:dcterms="http://purl.org/dc/terms/" xmlns:xsi="http://www.w3.org/2001/XMLSchema-instance" xsi:type="dcterms:W3CDTF">2026-10-18T02:55:35Z</dcterms:modified>
</cp:coreProperties>
</file>